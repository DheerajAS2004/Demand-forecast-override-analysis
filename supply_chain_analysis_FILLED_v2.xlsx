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st query MAPE" sheetId="1" state="visible" r:id="rId3"/>
    <sheet name="2nd query bias(over or under)" sheetId="2" state="visible" r:id="rId4"/>
    <sheet name="3rd query worst sku" sheetId="3" state="visible" r:id="rId5"/>
    <sheet name="Analysis" sheetId="4" state="visible" r:id="rId6"/>
    <sheet name="Summary" sheetId="5" state="visible" r:id="rId7"/>
    <sheet name="4th query override rate" sheetId="6" state="visible" r:id="rId8"/>
    <sheet name="5th query Cost incurr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<sst xmlns="http://schemas.openxmlformats.org/spreadsheetml/2006/main" count="214" uniqueCount="49">
  <si>
    <t xml:space="preserve">category</t>
  </si>
  <si>
    <t xml:space="preserve">system_mape_pct</t>
  </si>
  <si>
    <t xml:space="preserve">final_mape_pct</t>
  </si>
  <si>
    <t xml:space="preserve">Apparel</t>
  </si>
  <si>
    <t xml:space="preserve">Electronics</t>
  </si>
  <si>
    <t xml:space="preserve">Perishable</t>
  </si>
  <si>
    <t xml:space="preserve">warehouse</t>
  </si>
  <si>
    <t xml:space="preserve">avg_bias_pct</t>
  </si>
  <si>
    <t xml:space="preserve">West-DC</t>
  </si>
  <si>
    <t xml:space="preserve">South-DC</t>
  </si>
  <si>
    <t xml:space="preserve">North-DC</t>
  </si>
  <si>
    <t xml:space="preserve">sku_id</t>
  </si>
  <si>
    <t xml:space="preserve">months_overridden</t>
  </si>
  <si>
    <t xml:space="preserve">override_mape_pct</t>
  </si>
  <si>
    <t xml:space="preserve">APP-105</t>
  </si>
  <si>
    <t xml:space="preserve">APP-102</t>
  </si>
  <si>
    <t xml:space="preserve">APP-104</t>
  </si>
  <si>
    <t xml:space="preserve">APP-106</t>
  </si>
  <si>
    <t xml:space="preserve">APP-101</t>
  </si>
  <si>
    <t xml:space="preserve">APP-103</t>
  </si>
  <si>
    <t xml:space="preserve">MAPE Degradation by Category</t>
  </si>
  <si>
    <t xml:space="preserve">Category</t>
  </si>
  <si>
    <t xml:space="preserve">System MAPE</t>
  </si>
  <si>
    <t xml:space="preserve">Final MAPE</t>
  </si>
  <si>
    <t xml:space="preserve">Degradation (pp)</t>
  </si>
  <si>
    <t xml:space="preserve">Cost Sensitivity (Carrying Cost % Assumption)</t>
  </si>
  <si>
    <t xml:space="preserve">Carrying Cost %</t>
  </si>
  <si>
    <t xml:space="preserve">Total Excess Cost (INR)</t>
  </si>
  <si>
    <t xml:space="preserve">Override Rate vs Accuracy Correlation</t>
  </si>
  <si>
    <t xml:space="preserve">Correlation Coefficient (r):</t>
  </si>
  <si>
    <t xml:space="preserve">Project Summary — Key Findings</t>
  </si>
  <si>
    <t xml:space="preserve">Apparel MAPE Degradation (pp)</t>
  </si>
  <si>
    <t xml:space="preserve">Worst SKU (Override MAPE %)</t>
  </si>
  <si>
    <t xml:space="preserve">Total Excess Carrying Cost @15% (INR)</t>
  </si>
  <si>
    <t xml:space="preserve">Override Rate vs Accuracy Correlation (r)</t>
  </si>
  <si>
    <t xml:space="preserve">override_rate_pct</t>
  </si>
  <si>
    <t xml:space="preserve">ELC-204</t>
  </si>
  <si>
    <t xml:space="preserve">ELC-206</t>
  </si>
  <si>
    <t xml:space="preserve">ELC-203</t>
  </si>
  <si>
    <t xml:space="preserve">PER-304</t>
  </si>
  <si>
    <t xml:space="preserve">PER-301</t>
  </si>
  <si>
    <t xml:space="preserve">PER-306</t>
  </si>
  <si>
    <t xml:space="preserve">PER-303</t>
  </si>
  <si>
    <t xml:space="preserve">ELC-201</t>
  </si>
  <si>
    <t xml:space="preserve">PER-302</t>
  </si>
  <si>
    <t xml:space="preserve">PER-305</t>
  </si>
  <si>
    <t xml:space="preserve">ELC-205</t>
  </si>
  <si>
    <t xml:space="preserve">ELC-202</t>
  </si>
  <si>
    <t xml:space="preserve">estimated_excess_carrying_cost_inr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</si>
</sst>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Cambria"/>
      <family val="0"/>
      <charset val="1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System vs Final MAPE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Analysis!B2</c:f>
              <c:strCache>
                <c:ptCount val="1"/>
                <c:pt idx="0">
                  <c:v>System MAPE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Analysis!$A$3:$A$5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Perishable</c:v>
                </c:pt>
              </c:strCache>
            </c:strRef>
          </c:cat>
          <c:val>
            <c:numRef>
              <c:f>Analysis!$B$3:$B$5</c:f>
              <c:numCache>
                <c:formatCode>General</c:formatCode>
                <c:ptCount val="3"/>
                <c:pt idx="0">
                  <c:v>10.13</c:v>
                </c:pt>
                <c:pt idx="1">
                  <c:v>9.67</c:v>
                </c:pt>
                <c:pt idx="2">
                  <c:v>10.52</c:v>
                </c:pt>
              </c:numCache>
            </c:numRef>
          </c:val>
        </c:ser>
        <c:ser>
          <c:idx val="1"/>
          <c:order val="1"/>
          <c:tx>
            <c:strRef>
              <c:f>Analysis!C2</c:f>
              <c:strCache>
                <c:ptCount val="1"/>
                <c:pt idx="0">
                  <c:v>Final MAPE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Analysis!$A$3:$A$5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Perishable</c:v>
                </c:pt>
              </c:strCache>
            </c:strRef>
          </c:cat>
          <c:val>
            <c:numRef>
              <c:f>Analysis!$C$3:$C$5</c:f>
              <c:numCache>
                <c:formatCode>General</c:formatCode>
                <c:ptCount val="3"/>
                <c:pt idx="0">
                  <c:v>13.29</c:v>
                </c:pt>
                <c:pt idx="1">
                  <c:v>9.53</c:v>
                </c:pt>
                <c:pt idx="2">
                  <c:v>11.26</c:v>
                </c:pt>
              </c:numCache>
            </c:numRef>
          </c:val>
        </c:ser>
        <c:gapWidth val="150"/>
        <c:overlap val="0"/>
        <c:axId val="31998226"/>
        <c:axId val="65683772"/>
      </c:barChart>
      <c:catAx>
        <c:axId val="31998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83772"/>
        <c:crosses val="autoZero"/>
        <c:auto val="1"/>
        <c:lblAlgn val="ctr"/>
        <c:lblOffset val="100"/>
        <c:noMultiLvlLbl val="0"/>
      </c:catAx>
      <c:valAx>
        <c:axId val="65683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8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Override Rate vs Final MAPE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'4th query override rate'!D1</c:f>
              <c:strCache>
                <c:ptCount val="1"/>
                <c:pt idx="0">
                  <c:v>final_mape_pct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'4th query override rate'!$C$2:$C$56</c:f>
              <c:numCache>
                <c:formatCode>General</c:formatCode>
                <c:ptCount val="55"/>
                <c:pt idx="0">
                  <c:v>58.3</c:v>
                </c:pt>
                <c:pt idx="1">
                  <c:v>58.3</c:v>
                </c:pt>
                <c:pt idx="2">
                  <c:v>58.3</c:v>
                </c:pt>
                <c:pt idx="3">
                  <c:v>54.2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45.8</c:v>
                </c:pt>
                <c:pt idx="8">
                  <c:v>45.8</c:v>
                </c:pt>
                <c:pt idx="9">
                  <c:v>45.8</c:v>
                </c:pt>
                <c:pt idx="10">
                  <c:v>45.8</c:v>
                </c:pt>
                <c:pt idx="11">
                  <c:v>45.8</c:v>
                </c:pt>
                <c:pt idx="12">
                  <c:v>41.7</c:v>
                </c:pt>
                <c:pt idx="13">
                  <c:v>41.7</c:v>
                </c:pt>
                <c:pt idx="14">
                  <c:v>41.7</c:v>
                </c:pt>
                <c:pt idx="15">
                  <c:v>41.7</c:v>
                </c:pt>
                <c:pt idx="16">
                  <c:v>41.7</c:v>
                </c:pt>
                <c:pt idx="17">
                  <c:v>41.7</c:v>
                </c:pt>
                <c:pt idx="18">
                  <c:v>41.7</c:v>
                </c:pt>
                <c:pt idx="19">
                  <c:v>37.5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37.5</c:v>
                </c:pt>
                <c:pt idx="24">
                  <c:v>37.5</c:v>
                </c:pt>
                <c:pt idx="25">
                  <c:v>37.5</c:v>
                </c:pt>
                <c:pt idx="26">
                  <c:v>37.5</c:v>
                </c:pt>
                <c:pt idx="27">
                  <c:v>37.5</c:v>
                </c:pt>
                <c:pt idx="28">
                  <c:v>37.5</c:v>
                </c:pt>
                <c:pt idx="29">
                  <c:v>37.5</c:v>
                </c:pt>
                <c:pt idx="30">
                  <c:v>37.5</c:v>
                </c:pt>
                <c:pt idx="31">
                  <c:v>37.5</c:v>
                </c:pt>
                <c:pt idx="32">
                  <c:v>37.5</c:v>
                </c:pt>
                <c:pt idx="33">
                  <c:v>33.3</c:v>
                </c:pt>
                <c:pt idx="34">
                  <c:v>33.3</c:v>
                </c:pt>
                <c:pt idx="35">
                  <c:v>29.2</c:v>
                </c:pt>
                <c:pt idx="36">
                  <c:v>29.2</c:v>
                </c:pt>
                <c:pt idx="37">
                  <c:v>29.2</c:v>
                </c:pt>
                <c:pt idx="38">
                  <c:v>29.2</c:v>
                </c:pt>
                <c:pt idx="39">
                  <c:v>29.2</c:v>
                </c:pt>
                <c:pt idx="40">
                  <c:v>29.2</c:v>
                </c:pt>
                <c:pt idx="41">
                  <c:v>29.2</c:v>
                </c:pt>
                <c:pt idx="42">
                  <c:v>29.2</c:v>
                </c:pt>
                <c:pt idx="43">
                  <c:v>29.2</c:v>
                </c:pt>
                <c:pt idx="44">
                  <c:v>25</c:v>
                </c:pt>
                <c:pt idx="45">
                  <c:v>20.8</c:v>
                </c:pt>
                <c:pt idx="46">
                  <c:v>20.8</c:v>
                </c:pt>
                <c:pt idx="47">
                  <c:v>20.8</c:v>
                </c:pt>
                <c:pt idx="48">
                  <c:v>16.7</c:v>
                </c:pt>
                <c:pt idx="49">
                  <c:v>16.7</c:v>
                </c:pt>
                <c:pt idx="50">
                  <c:v>16.7</c:v>
                </c:pt>
                <c:pt idx="51">
                  <c:v>16.7</c:v>
                </c:pt>
                <c:pt idx="52">
                  <c:v>16.7</c:v>
                </c:pt>
                <c:pt idx="53">
                  <c:v>12.5</c:v>
                </c:pt>
              </c:numCache>
            </c:numRef>
          </c:xVal>
          <c:yVal>
            <c:numRef>
              <c:f>'4th query override rate'!$D$2:$D$56</c:f>
              <c:numCache>
                <c:formatCode>General</c:formatCode>
                <c:ptCount val="55"/>
                <c:pt idx="0">
                  <c:v>12.87</c:v>
                </c:pt>
                <c:pt idx="1">
                  <c:v>17.72</c:v>
                </c:pt>
                <c:pt idx="2">
                  <c:v>6.8</c:v>
                </c:pt>
                <c:pt idx="3">
                  <c:v>9.38</c:v>
                </c:pt>
                <c:pt idx="4">
                  <c:v>15.82</c:v>
                </c:pt>
                <c:pt idx="5">
                  <c:v>7.99</c:v>
                </c:pt>
                <c:pt idx="6">
                  <c:v>10.67</c:v>
                </c:pt>
                <c:pt idx="7">
                  <c:v>13.09</c:v>
                </c:pt>
                <c:pt idx="8">
                  <c:v>10.23</c:v>
                </c:pt>
                <c:pt idx="9">
                  <c:v>13.59</c:v>
                </c:pt>
                <c:pt idx="10">
                  <c:v>7.64</c:v>
                </c:pt>
                <c:pt idx="11">
                  <c:v>10.29</c:v>
                </c:pt>
                <c:pt idx="12">
                  <c:v>10.37</c:v>
                </c:pt>
                <c:pt idx="13">
                  <c:v>11.98</c:v>
                </c:pt>
                <c:pt idx="14">
                  <c:v>19.95</c:v>
                </c:pt>
                <c:pt idx="15">
                  <c:v>8.25</c:v>
                </c:pt>
                <c:pt idx="16">
                  <c:v>14.54</c:v>
                </c:pt>
                <c:pt idx="17">
                  <c:v>17.19</c:v>
                </c:pt>
                <c:pt idx="18">
                  <c:v>11.27</c:v>
                </c:pt>
                <c:pt idx="19">
                  <c:v>13.06</c:v>
                </c:pt>
                <c:pt idx="20">
                  <c:v>14</c:v>
                </c:pt>
                <c:pt idx="21">
                  <c:v>12.23</c:v>
                </c:pt>
                <c:pt idx="22">
                  <c:v>12.8</c:v>
                </c:pt>
                <c:pt idx="23">
                  <c:v>14.27</c:v>
                </c:pt>
                <c:pt idx="24">
                  <c:v>10.06</c:v>
                </c:pt>
                <c:pt idx="25">
                  <c:v>9.13</c:v>
                </c:pt>
                <c:pt idx="26">
                  <c:v>7.65</c:v>
                </c:pt>
                <c:pt idx="27">
                  <c:v>8.39</c:v>
                </c:pt>
                <c:pt idx="28">
                  <c:v>9.89</c:v>
                </c:pt>
                <c:pt idx="29">
                  <c:v>11.72</c:v>
                </c:pt>
                <c:pt idx="30">
                  <c:v>13.88</c:v>
                </c:pt>
                <c:pt idx="31">
                  <c:v>9.15</c:v>
                </c:pt>
                <c:pt idx="32">
                  <c:v>10.83</c:v>
                </c:pt>
                <c:pt idx="33">
                  <c:v>11.01</c:v>
                </c:pt>
                <c:pt idx="34">
                  <c:v>9.47</c:v>
                </c:pt>
                <c:pt idx="35">
                  <c:v>10.63</c:v>
                </c:pt>
                <c:pt idx="36">
                  <c:v>12.66</c:v>
                </c:pt>
                <c:pt idx="37">
                  <c:v>9.92</c:v>
                </c:pt>
                <c:pt idx="38">
                  <c:v>11.61</c:v>
                </c:pt>
                <c:pt idx="39">
                  <c:v>8.99</c:v>
                </c:pt>
                <c:pt idx="40">
                  <c:v>13.93</c:v>
                </c:pt>
                <c:pt idx="41">
                  <c:v>15.68</c:v>
                </c:pt>
                <c:pt idx="42">
                  <c:v>7.67</c:v>
                </c:pt>
                <c:pt idx="43">
                  <c:v>9.86</c:v>
                </c:pt>
                <c:pt idx="44">
                  <c:v>12.39</c:v>
                </c:pt>
                <c:pt idx="45">
                  <c:v>8.84</c:v>
                </c:pt>
                <c:pt idx="46">
                  <c:v>10.34</c:v>
                </c:pt>
                <c:pt idx="47">
                  <c:v>10.24</c:v>
                </c:pt>
                <c:pt idx="48">
                  <c:v>10.22</c:v>
                </c:pt>
                <c:pt idx="49">
                  <c:v>10.92</c:v>
                </c:pt>
                <c:pt idx="50">
                  <c:v>10.28</c:v>
                </c:pt>
                <c:pt idx="51">
                  <c:v>10.53</c:v>
                </c:pt>
                <c:pt idx="52">
                  <c:v>14.92</c:v>
                </c:pt>
                <c:pt idx="53">
                  <c:v>6.52</c:v>
                </c:pt>
              </c:numCache>
            </c:numRef>
          </c:yVal>
          <c:smooth val="1"/>
        </c:ser>
        <c:axId val="3949998"/>
        <c:axId val="83591187"/>
      </c:scatterChart>
      <c:valAx>
        <c:axId val="39499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Override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91187"/>
        <c:crosses val="autoZero"/>
        <c:crossBetween val="midCat"/>
      </c:valAx>
      <c:valAx>
        <c:axId val="83591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Final MAPE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99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507600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56865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160560</xdr:rowOff>
    </xdr:from>
    <xdr:to>
      <xdr:col>2</xdr:col>
      <xdr:colOff>1968840</xdr:colOff>
      <xdr:row>26</xdr:row>
      <xdr:rowOff>2880</xdr:rowOff>
    </xdr:to>
    <xdr:graphicFrame>
      <xdr:nvGraphicFramePr>
        <xdr:cNvPr id="1" name="Chart 1"/>
        <xdr:cNvGraphicFramePr/>
      </xdr:nvGraphicFramePr>
      <xdr:xfrm>
        <a:off x="0" y="2286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10.13</v>
      </c>
      <c r="C2" s="0" t="n">
        <v>13.29</v>
      </c>
    </row>
    <row r="3" customFormat="false" ht="15" hidden="false" customHeight="false" outlineLevel="0" collapsed="false">
      <c r="A3" s="0" t="s">
        <v>4</v>
      </c>
      <c r="B3" s="0" t="n">
        <v>9.67</v>
      </c>
      <c r="C3" s="0" t="n">
        <v>9.53</v>
      </c>
    </row>
    <row r="4" customFormat="false" ht="15" hidden="false" customHeight="false" outlineLevel="0" collapsed="false">
      <c r="A4" s="0" t="s">
        <v>5</v>
      </c>
      <c r="B4" s="0" t="n">
        <v>10.52</v>
      </c>
      <c r="C4" s="0" t="n">
        <v>11.26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6</v>
      </c>
      <c r="C1" s="1" t="s">
        <v>7</v>
      </c>
    </row>
    <row r="2" customFormat="false" ht="15" hidden="false" customHeight="false" outlineLevel="0" collapsed="false">
      <c r="A2" s="0" t="s">
        <v>3</v>
      </c>
      <c r="B2" s="0" t="s">
        <v>8</v>
      </c>
      <c r="C2" s="0" t="n">
        <v>23.19</v>
      </c>
    </row>
    <row r="3" customFormat="false" ht="15" hidden="false" customHeight="false" outlineLevel="0" collapsed="false">
      <c r="A3" s="0" t="s">
        <v>3</v>
      </c>
      <c r="B3" s="0" t="s">
        <v>9</v>
      </c>
      <c r="C3" s="0" t="n">
        <v>14.35</v>
      </c>
    </row>
    <row r="4" customFormat="false" ht="15" hidden="false" customHeight="false" outlineLevel="0" collapsed="false">
      <c r="A4" s="0" t="s">
        <v>3</v>
      </c>
      <c r="B4" s="0" t="s">
        <v>10</v>
      </c>
      <c r="C4" s="0" t="n">
        <v>13.28</v>
      </c>
    </row>
    <row r="5" customFormat="false" ht="15" hidden="false" customHeight="false" outlineLevel="0" collapsed="false">
      <c r="A5" s="0" t="s">
        <v>5</v>
      </c>
      <c r="B5" s="0" t="s">
        <v>10</v>
      </c>
      <c r="C5" s="0" t="n">
        <v>3.33</v>
      </c>
    </row>
    <row r="6" customFormat="false" ht="15" hidden="false" customHeight="false" outlineLevel="0" collapsed="false">
      <c r="A6" s="0" t="s">
        <v>5</v>
      </c>
      <c r="B6" s="0" t="s">
        <v>9</v>
      </c>
      <c r="C6" s="0" t="n">
        <v>1.17</v>
      </c>
    </row>
    <row r="7" customFormat="false" ht="15" hidden="false" customHeight="false" outlineLevel="0" collapsed="false">
      <c r="A7" s="0" t="s">
        <v>5</v>
      </c>
      <c r="B7" s="0" t="s">
        <v>8</v>
      </c>
      <c r="C7" s="0" t="n">
        <v>0.88</v>
      </c>
    </row>
    <row r="8" customFormat="false" ht="15" hidden="false" customHeight="false" outlineLevel="0" collapsed="false">
      <c r="A8" s="0" t="s">
        <v>4</v>
      </c>
      <c r="B8" s="0" t="s">
        <v>8</v>
      </c>
      <c r="C8" s="0" t="n">
        <v>-0.09</v>
      </c>
    </row>
    <row r="9" customFormat="false" ht="15" hidden="false" customHeight="false" outlineLevel="0" collapsed="false">
      <c r="A9" s="0" t="s">
        <v>4</v>
      </c>
      <c r="B9" s="0" t="s">
        <v>9</v>
      </c>
      <c r="C9" s="0" t="n">
        <v>-0.39</v>
      </c>
    </row>
    <row r="10" customFormat="false" ht="15" hidden="false" customHeight="false" outlineLevel="0" collapsed="false">
      <c r="A10" s="0" t="s">
        <v>4</v>
      </c>
      <c r="B10" s="0" t="s">
        <v>10</v>
      </c>
      <c r="C10" s="0" t="n">
        <v>-1.65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9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1" t="s">
        <v>11</v>
      </c>
      <c r="B1" s="1" t="s">
        <v>6</v>
      </c>
      <c r="C1" s="1" t="s">
        <v>0</v>
      </c>
      <c r="D1" s="1" t="s">
        <v>12</v>
      </c>
      <c r="E1" s="1" t="s">
        <v>13</v>
      </c>
      <c r="F1" s="1" t="s">
        <v>1</v>
      </c>
    </row>
    <row r="2" customFormat="false" ht="15" hidden="false" customHeight="false" outlineLevel="0" collapsed="false">
      <c r="A2" s="0" t="s">
        <v>14</v>
      </c>
      <c r="B2" s="0" t="s">
        <v>8</v>
      </c>
      <c r="C2" s="0" t="s">
        <v>3</v>
      </c>
      <c r="D2" s="0" t="n">
        <v>10</v>
      </c>
      <c r="E2" s="0" t="n">
        <v>32.8</v>
      </c>
      <c r="F2" s="0" t="n">
        <v>8.84</v>
      </c>
    </row>
    <row r="3" customFormat="false" ht="15" hidden="false" customHeight="false" outlineLevel="0" collapsed="false">
      <c r="A3" s="0" t="s">
        <v>15</v>
      </c>
      <c r="B3" s="0" t="s">
        <v>8</v>
      </c>
      <c r="C3" s="0" t="s">
        <v>3</v>
      </c>
      <c r="D3" s="0" t="n">
        <v>9</v>
      </c>
      <c r="E3" s="0" t="n">
        <v>23.97</v>
      </c>
      <c r="F3" s="0" t="n">
        <v>8.87</v>
      </c>
    </row>
    <row r="4" customFormat="false" ht="15" hidden="false" customHeight="false" outlineLevel="0" collapsed="false">
      <c r="A4" s="0" t="s">
        <v>16</v>
      </c>
      <c r="B4" s="0" t="s">
        <v>8</v>
      </c>
      <c r="C4" s="0" t="s">
        <v>3</v>
      </c>
      <c r="D4" s="0" t="n">
        <v>9</v>
      </c>
      <c r="E4" s="0" t="n">
        <v>24.78</v>
      </c>
      <c r="F4" s="0" t="n">
        <v>9.86</v>
      </c>
    </row>
    <row r="5" customFormat="false" ht="15" hidden="false" customHeight="false" outlineLevel="0" collapsed="false">
      <c r="A5" s="0" t="s">
        <v>17</v>
      </c>
      <c r="B5" s="0" t="s">
        <v>10</v>
      </c>
      <c r="C5" s="0" t="s">
        <v>3</v>
      </c>
      <c r="D5" s="0" t="n">
        <v>14</v>
      </c>
      <c r="E5" s="0" t="n">
        <v>24.65</v>
      </c>
      <c r="F5" s="0" t="n">
        <v>10.56</v>
      </c>
    </row>
    <row r="6" customFormat="false" ht="15" hidden="false" customHeight="false" outlineLevel="0" collapsed="false">
      <c r="A6" s="0" t="s">
        <v>18</v>
      </c>
      <c r="B6" s="0" t="s">
        <v>8</v>
      </c>
      <c r="C6" s="0" t="s">
        <v>3</v>
      </c>
      <c r="D6" s="0" t="n">
        <v>10</v>
      </c>
      <c r="E6" s="0" t="n">
        <v>24.62</v>
      </c>
      <c r="F6" s="0" t="n">
        <v>11.13</v>
      </c>
    </row>
    <row r="7" customFormat="false" ht="15" hidden="false" customHeight="false" outlineLevel="0" collapsed="false">
      <c r="A7" s="0" t="s">
        <v>19</v>
      </c>
      <c r="B7" s="0" t="s">
        <v>9</v>
      </c>
      <c r="C7" s="0" t="s">
        <v>3</v>
      </c>
      <c r="D7" s="0" t="n">
        <v>9</v>
      </c>
      <c r="E7" s="0" t="n">
        <v>23.73</v>
      </c>
      <c r="F7" s="0" t="n">
        <v>13.08</v>
      </c>
    </row>
    <row r="8" customFormat="false" ht="15" hidden="false" customHeight="false" outlineLevel="0" collapsed="false">
      <c r="A8" s="0" t="s">
        <v>19</v>
      </c>
      <c r="B8" s="0" t="s">
        <v>8</v>
      </c>
      <c r="C8" s="0" t="s">
        <v>3</v>
      </c>
      <c r="D8" s="0" t="n">
        <v>10</v>
      </c>
      <c r="E8" s="0" t="n">
        <v>17.86</v>
      </c>
      <c r="F8" s="0" t="n">
        <v>8.82</v>
      </c>
    </row>
    <row r="9" customFormat="false" ht="15" hidden="false" customHeight="false" outlineLevel="0" collapsed="false">
      <c r="A9" s="0" t="s">
        <v>14</v>
      </c>
      <c r="B9" s="0" t="s">
        <v>10</v>
      </c>
      <c r="C9" s="0" t="s">
        <v>3</v>
      </c>
      <c r="D9" s="0" t="n">
        <v>9</v>
      </c>
      <c r="E9" s="0" t="n">
        <v>14.57</v>
      </c>
      <c r="F9" s="0" t="n">
        <v>7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s">
        <v>3</v>
      </c>
      <c r="D10" s="0" t="n">
        <v>12</v>
      </c>
      <c r="E10" s="0" t="n">
        <v>20.32</v>
      </c>
      <c r="F10" s="0" t="n">
        <v>13.32</v>
      </c>
    </row>
    <row r="11" customFormat="false" ht="15" hidden="false" customHeight="false" outlineLevel="0" collapsed="false">
      <c r="A11" s="0" t="s">
        <v>15</v>
      </c>
      <c r="B11" s="0" t="s">
        <v>10</v>
      </c>
      <c r="C11" s="0" t="s">
        <v>3</v>
      </c>
      <c r="D11" s="0" t="n">
        <v>10</v>
      </c>
      <c r="E11" s="0" t="n">
        <v>14.26</v>
      </c>
      <c r="F11" s="0" t="n">
        <v>7.97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2" t="s">
        <v>20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</row>
    <row r="3" customFormat="false" ht="15" hidden="false" customHeight="false" outlineLevel="0" collapsed="false">
      <c r="A3" s="0" t="s">
        <v>3</v>
      </c>
      <c r="B3" s="0" t="n">
        <f aca="false">VLOOKUP(A3,'1st query MAPE'!$A$2:$C$4,2,FALSE())</f>
        <v>10.13</v>
      </c>
      <c r="C3" s="0" t="n">
        <f aca="false">VLOOKUP(A3,'1st query MAPE'!$A$2:$C$4,3,FALSE())</f>
        <v>13.29</v>
      </c>
      <c r="D3" s="0" t="n">
        <f aca="false">C3-B3</f>
        <v>3.16</v>
      </c>
    </row>
    <row r="4" customFormat="false" ht="15" hidden="false" customHeight="false" outlineLevel="0" collapsed="false">
      <c r="A4" s="0" t="s">
        <v>4</v>
      </c>
      <c r="B4" s="0" t="n">
        <f aca="false">VLOOKUP(A4,'1st query MAPE'!$A$2:$C$4,2,FALSE())</f>
        <v>9.67</v>
      </c>
      <c r="C4" s="0" t="n">
        <f aca="false">VLOOKUP(A4,'1st query MAPE'!$A$2:$C$4,3,FALSE())</f>
        <v>9.53</v>
      </c>
      <c r="D4" s="0" t="n">
        <f aca="false">C4-B4</f>
        <v>-0.140000000000001</v>
      </c>
    </row>
    <row r="5" customFormat="false" ht="15" hidden="false" customHeight="false" outlineLevel="0" collapsed="false">
      <c r="A5" s="0" t="s">
        <v>5</v>
      </c>
      <c r="B5" s="0" t="n">
        <f aca="false">VLOOKUP(A5,'1st query MAPE'!$A$2:$C$4,2,FALSE())</f>
        <v>10.52</v>
      </c>
      <c r="C5" s="0" t="n">
        <f aca="false">VLOOKUP(A5,'1st query MAPE'!$A$2:$C$4,3,FALSE())</f>
        <v>11.26</v>
      </c>
      <c r="D5" s="0" t="n">
        <f aca="false">C5-B5</f>
        <v>0.74</v>
      </c>
    </row>
    <row r="8" customFormat="false" ht="15" hidden="false" customHeight="false" outlineLevel="0" collapsed="false">
      <c r="A8" s="2" t="s">
        <v>25</v>
      </c>
    </row>
    <row r="9" customFormat="false" ht="15" hidden="false" customHeight="false" outlineLevel="0" collapsed="false">
      <c r="A9" s="1" t="s">
        <v>26</v>
      </c>
      <c r="B9" s="1" t="s">
        <v>27</v>
      </c>
    </row>
    <row r="10" customFormat="false" ht="15" hidden="false" customHeight="false" outlineLevel="0" collapsed="false">
      <c r="A10" s="3" t="n">
        <v>0.1</v>
      </c>
      <c r="B10" s="4" t="n">
        <f aca="false">SUM('5th query Cost incurred'!$C$2:$C$11)/0.15*A10</f>
        <v>2566662</v>
      </c>
    </row>
    <row r="11" customFormat="false" ht="15" hidden="false" customHeight="false" outlineLevel="0" collapsed="false">
      <c r="A11" s="3" t="n">
        <v>0.15</v>
      </c>
      <c r="B11" s="4" t="n">
        <f aca="false">SUM('5th query Cost incurred'!$C$2:$C$11)/0.15*A11</f>
        <v>3849993</v>
      </c>
    </row>
    <row r="12" customFormat="false" ht="15" hidden="false" customHeight="false" outlineLevel="0" collapsed="false">
      <c r="A12" s="3" t="n">
        <v>0.2</v>
      </c>
      <c r="B12" s="4" t="n">
        <f aca="false">SUM('5th query Cost incurred'!$C$2:$C$11)/0.15*A12</f>
        <v>5133324</v>
      </c>
    </row>
    <row r="13" customFormat="false" ht="15" hidden="false" customHeight="false" outlineLevel="0" collapsed="false">
      <c r="A13" s="3" t="n">
        <v>0.25</v>
      </c>
      <c r="B13" s="4" t="n">
        <f aca="false">SUM('5th query Cost incurred'!$C$2:$C$11)/0.15*A13</f>
        <v>6416655</v>
      </c>
    </row>
    <row r="16" customFormat="false" ht="15" hidden="false" customHeight="false" outlineLevel="0" collapsed="false">
      <c r="A16" s="2" t="s">
        <v>28</v>
      </c>
    </row>
    <row r="17" customFormat="false" ht="15" hidden="false" customHeight="false" outlineLevel="0" collapsed="false">
      <c r="A17" s="5" t="s">
        <v>29</v>
      </c>
      <c r="B17" s="4" t="n">
        <f aca="false">CORREL('4th query override rate'!C2:C56,'4th query override rate'!D2:D56)</f>
        <v>0.170124776571951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6" t="s">
        <v>30</v>
      </c>
    </row>
    <row r="3" customFormat="false" ht="15" hidden="false" customHeight="false" outlineLevel="0" collapsed="false">
      <c r="A3" s="5" t="s">
        <v>31</v>
      </c>
      <c r="C3" s="4" t="n">
        <f aca="false">Analysis!D3</f>
        <v>3.16</v>
      </c>
    </row>
    <row r="5" customFormat="false" ht="15" hidden="false" customHeight="false" outlineLevel="0" collapsed="false">
      <c r="A5" s="5" t="s">
        <v>32</v>
      </c>
      <c r="C5" s="0" t="str">
        <f aca="false">"APP-105, West-DC — 32.8%"</f>
        <v>APP-105, West-DC — 32.8%</v>
      </c>
    </row>
    <row r="7" customFormat="false" ht="15" hidden="false" customHeight="false" outlineLevel="0" collapsed="false">
      <c r="A7" s="5" t="s">
        <v>33</v>
      </c>
      <c r="C7" s="4" t="n">
        <f aca="false">Analysis!B11</f>
        <v>3849993</v>
      </c>
    </row>
    <row r="9" customFormat="false" ht="15" hidden="false" customHeight="false" outlineLevel="0" collapsed="false">
      <c r="A9" s="5" t="s">
        <v>34</v>
      </c>
      <c r="C9" s="4" t="n">
        <f aca="false">Analysis!B17</f>
        <v>0.170124776571951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9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11</v>
      </c>
      <c r="B1" s="1" t="s">
        <v>6</v>
      </c>
      <c r="C1" s="1" t="s">
        <v>35</v>
      </c>
      <c r="D1" s="1" t="s">
        <v>2</v>
      </c>
    </row>
    <row r="2" customFormat="false" ht="15" hidden="false" customHeight="false" outlineLevel="0" collapsed="false">
      <c r="A2" s="0" t="s">
        <v>18</v>
      </c>
      <c r="B2" s="0" t="s">
        <v>10</v>
      </c>
      <c r="C2" s="0" t="n">
        <v>58.3</v>
      </c>
      <c r="D2" s="0" t="n">
        <v>12.87</v>
      </c>
    </row>
    <row r="3" customFormat="false" ht="15" hidden="false" customHeight="false" outlineLevel="0" collapsed="false">
      <c r="A3" s="0" t="s">
        <v>17</v>
      </c>
      <c r="B3" s="0" t="s">
        <v>10</v>
      </c>
      <c r="C3" s="0" t="n">
        <v>58.3</v>
      </c>
      <c r="D3" s="0" t="n">
        <v>17.72</v>
      </c>
    </row>
    <row r="4" customFormat="false" ht="15" hidden="false" customHeight="false" outlineLevel="0" collapsed="false">
      <c r="A4" s="0" t="s">
        <v>36</v>
      </c>
      <c r="B4" s="0" t="s">
        <v>9</v>
      </c>
      <c r="C4" s="0" t="n">
        <v>58.3</v>
      </c>
      <c r="D4" s="0" t="n">
        <v>6.8</v>
      </c>
    </row>
    <row r="5" customFormat="false" ht="15" hidden="false" customHeight="false" outlineLevel="0" collapsed="false">
      <c r="A5" s="0" t="s">
        <v>37</v>
      </c>
      <c r="B5" s="0" t="s">
        <v>8</v>
      </c>
      <c r="C5" s="0" t="n">
        <v>54.2</v>
      </c>
      <c r="D5" s="0" t="n">
        <v>9.38</v>
      </c>
    </row>
    <row r="6" customFormat="false" ht="15" hidden="false" customHeight="false" outlineLevel="0" collapsed="false">
      <c r="A6" s="0" t="s">
        <v>14</v>
      </c>
      <c r="B6" s="0" t="s">
        <v>9</v>
      </c>
      <c r="C6" s="0" t="n">
        <v>50</v>
      </c>
      <c r="D6" s="0" t="n">
        <v>15.82</v>
      </c>
    </row>
    <row r="7" customFormat="false" ht="15" hidden="false" customHeight="false" outlineLevel="0" collapsed="false">
      <c r="A7" s="0" t="s">
        <v>38</v>
      </c>
      <c r="B7" s="0" t="s">
        <v>9</v>
      </c>
      <c r="C7" s="0" t="n">
        <v>50</v>
      </c>
      <c r="D7" s="0" t="n">
        <v>7.99</v>
      </c>
    </row>
    <row r="8" customFormat="false" ht="15" hidden="false" customHeight="false" outlineLevel="0" collapsed="false">
      <c r="A8" s="0" t="s">
        <v>39</v>
      </c>
      <c r="B8" s="0" t="s">
        <v>9</v>
      </c>
      <c r="C8" s="0" t="n">
        <v>50</v>
      </c>
      <c r="D8" s="0" t="n">
        <v>10.67</v>
      </c>
    </row>
    <row r="9" customFormat="false" ht="15" hidden="false" customHeight="false" outlineLevel="0" collapsed="false">
      <c r="A9" s="0" t="s">
        <v>40</v>
      </c>
      <c r="B9" s="0" t="s">
        <v>8</v>
      </c>
      <c r="C9" s="0" t="n">
        <v>45.8</v>
      </c>
      <c r="D9" s="0" t="n">
        <v>13.09</v>
      </c>
    </row>
    <row r="10" customFormat="false" ht="15" hidden="false" customHeight="false" outlineLevel="0" collapsed="false">
      <c r="A10" s="0" t="s">
        <v>41</v>
      </c>
      <c r="B10" s="0" t="s">
        <v>8</v>
      </c>
      <c r="C10" s="0" t="n">
        <v>45.8</v>
      </c>
      <c r="D10" s="0" t="n">
        <v>10.23</v>
      </c>
    </row>
    <row r="11" customFormat="false" ht="15" hidden="false" customHeight="false" outlineLevel="0" collapsed="false">
      <c r="A11" s="0" t="s">
        <v>42</v>
      </c>
      <c r="B11" s="0" t="s">
        <v>10</v>
      </c>
      <c r="C11" s="0" t="n">
        <v>45.8</v>
      </c>
      <c r="D11" s="0" t="n">
        <v>13.59</v>
      </c>
    </row>
    <row r="12" customFormat="false" ht="15" hidden="false" customHeight="false" outlineLevel="0" collapsed="false">
      <c r="A12" s="0" t="s">
        <v>38</v>
      </c>
      <c r="B12" s="0" t="s">
        <v>10</v>
      </c>
      <c r="C12" s="0" t="n">
        <v>45.8</v>
      </c>
      <c r="D12" s="0" t="n">
        <v>7.64</v>
      </c>
    </row>
    <row r="13" customFormat="false" ht="15" hidden="false" customHeight="false" outlineLevel="0" collapsed="false">
      <c r="A13" s="0" t="s">
        <v>43</v>
      </c>
      <c r="B13" s="0" t="s">
        <v>8</v>
      </c>
      <c r="C13" s="0" t="n">
        <v>45.8</v>
      </c>
      <c r="D13" s="0" t="n">
        <v>10.29</v>
      </c>
    </row>
    <row r="14" customFormat="false" ht="15" hidden="false" customHeight="false" outlineLevel="0" collapsed="false">
      <c r="A14" s="0" t="s">
        <v>44</v>
      </c>
      <c r="B14" s="0" t="s">
        <v>10</v>
      </c>
      <c r="C14" s="0" t="n">
        <v>41.7</v>
      </c>
      <c r="D14" s="0" t="n">
        <v>10.37</v>
      </c>
    </row>
    <row r="15" customFormat="false" ht="15" hidden="false" customHeight="false" outlineLevel="0" collapsed="false">
      <c r="A15" s="0" t="s">
        <v>41</v>
      </c>
      <c r="B15" s="0" t="s">
        <v>10</v>
      </c>
      <c r="C15" s="0" t="n">
        <v>41.7</v>
      </c>
      <c r="D15" s="0" t="n">
        <v>11.98</v>
      </c>
    </row>
    <row r="16" customFormat="false" ht="15" hidden="false" customHeight="false" outlineLevel="0" collapsed="false">
      <c r="A16" s="0" t="s">
        <v>14</v>
      </c>
      <c r="B16" s="0" t="s">
        <v>8</v>
      </c>
      <c r="C16" s="0" t="n">
        <v>41.7</v>
      </c>
      <c r="D16" s="0" t="n">
        <v>19.95</v>
      </c>
    </row>
    <row r="17" customFormat="false" ht="15" hidden="false" customHeight="false" outlineLevel="0" collapsed="false">
      <c r="A17" s="0" t="s">
        <v>43</v>
      </c>
      <c r="B17" s="0" t="s">
        <v>9</v>
      </c>
      <c r="C17" s="0" t="n">
        <v>41.7</v>
      </c>
      <c r="D17" s="0" t="n">
        <v>8.25</v>
      </c>
    </row>
    <row r="18" customFormat="false" ht="15" hidden="false" customHeight="false" outlineLevel="0" collapsed="false">
      <c r="A18" s="0" t="s">
        <v>19</v>
      </c>
      <c r="B18" s="0" t="s">
        <v>8</v>
      </c>
      <c r="C18" s="0" t="n">
        <v>41.7</v>
      </c>
      <c r="D18" s="0" t="n">
        <v>14.54</v>
      </c>
    </row>
    <row r="19" customFormat="false" ht="15" hidden="false" customHeight="false" outlineLevel="0" collapsed="false">
      <c r="A19" s="0" t="s">
        <v>18</v>
      </c>
      <c r="B19" s="0" t="s">
        <v>8</v>
      </c>
      <c r="C19" s="0" t="n">
        <v>41.7</v>
      </c>
      <c r="D19" s="0" t="n">
        <v>17.19</v>
      </c>
    </row>
    <row r="20" customFormat="false" ht="15" hidden="false" customHeight="false" outlineLevel="0" collapsed="false">
      <c r="A20" s="0" t="s">
        <v>15</v>
      </c>
      <c r="B20" s="0" t="s">
        <v>10</v>
      </c>
      <c r="C20" s="0" t="n">
        <v>41.7</v>
      </c>
      <c r="D20" s="0" t="n">
        <v>11.27</v>
      </c>
    </row>
    <row r="21" customFormat="false" ht="15" hidden="false" customHeight="false" outlineLevel="0" collapsed="false">
      <c r="A21" s="0" t="s">
        <v>15</v>
      </c>
      <c r="B21" s="0" t="s">
        <v>8</v>
      </c>
      <c r="C21" s="0" t="n">
        <v>37.5</v>
      </c>
      <c r="D21" s="0" t="n">
        <v>13.06</v>
      </c>
    </row>
    <row r="22" customFormat="false" ht="15" hidden="false" customHeight="false" outlineLevel="0" collapsed="false">
      <c r="A22" s="0" t="s">
        <v>16</v>
      </c>
      <c r="B22" s="0" t="s">
        <v>8</v>
      </c>
      <c r="C22" s="0" t="n">
        <v>37.5</v>
      </c>
      <c r="D22" s="0" t="n">
        <v>14</v>
      </c>
    </row>
    <row r="23" customFormat="false" ht="15" hidden="false" customHeight="false" outlineLevel="0" collapsed="false">
      <c r="A23" s="0" t="s">
        <v>18</v>
      </c>
      <c r="B23" s="0" t="s">
        <v>9</v>
      </c>
      <c r="C23" s="0" t="n">
        <v>37.5</v>
      </c>
      <c r="D23" s="0" t="n">
        <v>12.23</v>
      </c>
    </row>
    <row r="24" customFormat="false" ht="15" hidden="false" customHeight="false" outlineLevel="0" collapsed="false">
      <c r="A24" s="0" t="s">
        <v>45</v>
      </c>
      <c r="B24" s="0" t="s">
        <v>10</v>
      </c>
      <c r="C24" s="0" t="n">
        <v>37.5</v>
      </c>
      <c r="D24" s="0" t="n">
        <v>12.8</v>
      </c>
    </row>
    <row r="25" customFormat="false" ht="15" hidden="false" customHeight="false" outlineLevel="0" collapsed="false">
      <c r="A25" s="0" t="s">
        <v>39</v>
      </c>
      <c r="B25" s="0" t="s">
        <v>8</v>
      </c>
      <c r="C25" s="0" t="n">
        <v>37.5</v>
      </c>
      <c r="D25" s="0" t="n">
        <v>14.27</v>
      </c>
    </row>
    <row r="26" customFormat="false" ht="15" hidden="false" customHeight="false" outlineLevel="0" collapsed="false">
      <c r="A26" s="0" t="s">
        <v>42</v>
      </c>
      <c r="B26" s="0" t="s">
        <v>9</v>
      </c>
      <c r="C26" s="0" t="n">
        <v>37.5</v>
      </c>
      <c r="D26" s="0" t="n">
        <v>10.06</v>
      </c>
    </row>
    <row r="27" customFormat="false" ht="15" hidden="false" customHeight="false" outlineLevel="0" collapsed="false">
      <c r="A27" s="0" t="s">
        <v>42</v>
      </c>
      <c r="B27" s="0" t="s">
        <v>8</v>
      </c>
      <c r="C27" s="0" t="n">
        <v>37.5</v>
      </c>
      <c r="D27" s="0" t="n">
        <v>9.13</v>
      </c>
    </row>
    <row r="28" customFormat="false" ht="15" hidden="false" customHeight="false" outlineLevel="0" collapsed="false">
      <c r="A28" s="0" t="s">
        <v>36</v>
      </c>
      <c r="B28" s="0" t="s">
        <v>8</v>
      </c>
      <c r="C28" s="0" t="n">
        <v>37.5</v>
      </c>
      <c r="D28" s="0" t="n">
        <v>7.65</v>
      </c>
    </row>
    <row r="29" customFormat="false" ht="15" hidden="false" customHeight="false" outlineLevel="0" collapsed="false">
      <c r="A29" s="0" t="s">
        <v>37</v>
      </c>
      <c r="B29" s="0" t="s">
        <v>10</v>
      </c>
      <c r="C29" s="0" t="n">
        <v>37.5</v>
      </c>
      <c r="D29" s="0" t="n">
        <v>8.39</v>
      </c>
    </row>
    <row r="30" customFormat="false" ht="15" hidden="false" customHeight="false" outlineLevel="0" collapsed="false">
      <c r="A30" s="0" t="s">
        <v>46</v>
      </c>
      <c r="B30" s="0" t="s">
        <v>9</v>
      </c>
      <c r="C30" s="0" t="n">
        <v>37.5</v>
      </c>
      <c r="D30" s="0" t="n">
        <v>9.89</v>
      </c>
    </row>
    <row r="31" customFormat="false" ht="15" hidden="false" customHeight="false" outlineLevel="0" collapsed="false">
      <c r="A31" s="0" t="s">
        <v>14</v>
      </c>
      <c r="B31" s="0" t="s">
        <v>10</v>
      </c>
      <c r="C31" s="0" t="n">
        <v>37.5</v>
      </c>
      <c r="D31" s="0" t="n">
        <v>11.72</v>
      </c>
    </row>
    <row r="32" customFormat="false" ht="15" hidden="false" customHeight="false" outlineLevel="0" collapsed="false">
      <c r="A32" s="0" t="s">
        <v>19</v>
      </c>
      <c r="B32" s="0" t="s">
        <v>9</v>
      </c>
      <c r="C32" s="0" t="n">
        <v>37.5</v>
      </c>
      <c r="D32" s="0" t="n">
        <v>13.88</v>
      </c>
    </row>
    <row r="33" customFormat="false" ht="15" hidden="false" customHeight="false" outlineLevel="0" collapsed="false">
      <c r="A33" s="0" t="s">
        <v>16</v>
      </c>
      <c r="B33" s="0" t="s">
        <v>10</v>
      </c>
      <c r="C33" s="0" t="n">
        <v>37.5</v>
      </c>
      <c r="D33" s="0" t="n">
        <v>9.15</v>
      </c>
    </row>
    <row r="34" customFormat="false" ht="15" hidden="false" customHeight="false" outlineLevel="0" collapsed="false">
      <c r="A34" s="0" t="s">
        <v>36</v>
      </c>
      <c r="B34" s="0" t="s">
        <v>10</v>
      </c>
      <c r="C34" s="0" t="n">
        <v>37.5</v>
      </c>
      <c r="D34" s="0" t="n">
        <v>10.83</v>
      </c>
    </row>
    <row r="35" customFormat="false" ht="15" hidden="false" customHeight="false" outlineLevel="0" collapsed="false">
      <c r="A35" s="0" t="s">
        <v>41</v>
      </c>
      <c r="B35" s="0" t="s">
        <v>9</v>
      </c>
      <c r="C35" s="0" t="n">
        <v>33.3</v>
      </c>
      <c r="D35" s="0" t="n">
        <v>11.01</v>
      </c>
    </row>
    <row r="36" customFormat="false" ht="15" hidden="false" customHeight="false" outlineLevel="0" collapsed="false">
      <c r="A36" s="0" t="s">
        <v>40</v>
      </c>
      <c r="B36" s="0" t="s">
        <v>9</v>
      </c>
      <c r="C36" s="0" t="n">
        <v>33.3</v>
      </c>
      <c r="D36" s="0" t="n">
        <v>9.47</v>
      </c>
    </row>
    <row r="37" customFormat="false" ht="15" hidden="false" customHeight="false" outlineLevel="0" collapsed="false">
      <c r="A37" s="0" t="s">
        <v>16</v>
      </c>
      <c r="B37" s="0" t="s">
        <v>9</v>
      </c>
      <c r="C37" s="0" t="n">
        <v>29.2</v>
      </c>
      <c r="D37" s="0" t="n">
        <v>10.63</v>
      </c>
    </row>
    <row r="38" customFormat="false" ht="15" hidden="false" customHeight="false" outlineLevel="0" collapsed="false">
      <c r="A38" s="0" t="s">
        <v>15</v>
      </c>
      <c r="B38" s="0" t="s">
        <v>9</v>
      </c>
      <c r="C38" s="0" t="n">
        <v>29.2</v>
      </c>
      <c r="D38" s="0" t="n">
        <v>12.66</v>
      </c>
    </row>
    <row r="39" customFormat="false" ht="15" hidden="false" customHeight="false" outlineLevel="0" collapsed="false">
      <c r="A39" s="0" t="s">
        <v>17</v>
      </c>
      <c r="B39" s="0" t="s">
        <v>9</v>
      </c>
      <c r="C39" s="0" t="n">
        <v>29.2</v>
      </c>
      <c r="D39" s="0" t="n">
        <v>9.92</v>
      </c>
    </row>
    <row r="40" customFormat="false" ht="15" hidden="false" customHeight="false" outlineLevel="0" collapsed="false">
      <c r="A40" s="0" t="s">
        <v>45</v>
      </c>
      <c r="B40" s="0" t="s">
        <v>8</v>
      </c>
      <c r="C40" s="0" t="n">
        <v>29.2</v>
      </c>
      <c r="D40" s="0" t="n">
        <v>11.61</v>
      </c>
    </row>
    <row r="41" customFormat="false" ht="15" hidden="false" customHeight="false" outlineLevel="0" collapsed="false">
      <c r="A41" s="0" t="s">
        <v>39</v>
      </c>
      <c r="B41" s="0" t="s">
        <v>10</v>
      </c>
      <c r="C41" s="0" t="n">
        <v>29.2</v>
      </c>
      <c r="D41" s="0" t="n">
        <v>8.99</v>
      </c>
    </row>
    <row r="42" customFormat="false" ht="15" hidden="false" customHeight="false" outlineLevel="0" collapsed="false">
      <c r="A42" s="0" t="s">
        <v>37</v>
      </c>
      <c r="B42" s="0" t="s">
        <v>9</v>
      </c>
      <c r="C42" s="0" t="n">
        <v>29.2</v>
      </c>
      <c r="D42" s="0" t="n">
        <v>13.93</v>
      </c>
    </row>
    <row r="43" customFormat="false" ht="15" hidden="false" customHeight="false" outlineLevel="0" collapsed="false">
      <c r="A43" s="0" t="s">
        <v>44</v>
      </c>
      <c r="B43" s="0" t="s">
        <v>8</v>
      </c>
      <c r="C43" s="0" t="n">
        <v>29.2</v>
      </c>
      <c r="D43" s="0" t="n">
        <v>15.68</v>
      </c>
    </row>
    <row r="44" customFormat="false" ht="15" hidden="false" customHeight="false" outlineLevel="0" collapsed="false">
      <c r="A44" s="0" t="s">
        <v>46</v>
      </c>
      <c r="B44" s="0" t="s">
        <v>8</v>
      </c>
      <c r="C44" s="0" t="n">
        <v>29.2</v>
      </c>
      <c r="D44" s="0" t="n">
        <v>7.67</v>
      </c>
    </row>
    <row r="45" customFormat="false" ht="15" hidden="false" customHeight="false" outlineLevel="0" collapsed="false">
      <c r="A45" s="0" t="s">
        <v>38</v>
      </c>
      <c r="B45" s="0" t="s">
        <v>8</v>
      </c>
      <c r="C45" s="0" t="n">
        <v>29.2</v>
      </c>
      <c r="D45" s="0" t="n">
        <v>9.86</v>
      </c>
    </row>
    <row r="46" customFormat="false" ht="15" hidden="false" customHeight="false" outlineLevel="0" collapsed="false">
      <c r="A46" s="0" t="s">
        <v>17</v>
      </c>
      <c r="B46" s="0" t="s">
        <v>8</v>
      </c>
      <c r="C46" s="0" t="n">
        <v>25</v>
      </c>
      <c r="D46" s="0" t="n">
        <v>12.39</v>
      </c>
    </row>
    <row r="47" customFormat="false" ht="15" hidden="false" customHeight="false" outlineLevel="0" collapsed="false">
      <c r="A47" s="0" t="s">
        <v>44</v>
      </c>
      <c r="B47" s="0" t="s">
        <v>9</v>
      </c>
      <c r="C47" s="0" t="n">
        <v>20.8</v>
      </c>
      <c r="D47" s="0" t="n">
        <v>8.84</v>
      </c>
    </row>
    <row r="48" customFormat="false" ht="15" hidden="false" customHeight="false" outlineLevel="0" collapsed="false">
      <c r="A48" s="0" t="s">
        <v>45</v>
      </c>
      <c r="B48" s="0" t="s">
        <v>9</v>
      </c>
      <c r="C48" s="0" t="n">
        <v>20.8</v>
      </c>
      <c r="D48" s="0" t="n">
        <v>10.34</v>
      </c>
    </row>
    <row r="49" customFormat="false" ht="15" hidden="false" customHeight="false" outlineLevel="0" collapsed="false">
      <c r="A49" s="0" t="s">
        <v>47</v>
      </c>
      <c r="B49" s="0" t="s">
        <v>9</v>
      </c>
      <c r="C49" s="0" t="n">
        <v>20.8</v>
      </c>
      <c r="D49" s="0" t="n">
        <v>10.24</v>
      </c>
    </row>
    <row r="50" customFormat="false" ht="15" hidden="false" customHeight="false" outlineLevel="0" collapsed="false">
      <c r="A50" s="0" t="s">
        <v>19</v>
      </c>
      <c r="B50" s="0" t="s">
        <v>10</v>
      </c>
      <c r="C50" s="0" t="n">
        <v>16.7</v>
      </c>
      <c r="D50" s="0" t="n">
        <v>10.22</v>
      </c>
    </row>
    <row r="51" customFormat="false" ht="15" hidden="false" customHeight="false" outlineLevel="0" collapsed="false">
      <c r="A51" s="0" t="s">
        <v>43</v>
      </c>
      <c r="B51" s="0" t="s">
        <v>10</v>
      </c>
      <c r="C51" s="0" t="n">
        <v>16.7</v>
      </c>
      <c r="D51" s="0" t="n">
        <v>10.92</v>
      </c>
    </row>
    <row r="52" customFormat="false" ht="15" hidden="false" customHeight="false" outlineLevel="0" collapsed="false">
      <c r="A52" s="0" t="s">
        <v>47</v>
      </c>
      <c r="B52" s="0" t="s">
        <v>8</v>
      </c>
      <c r="C52" s="0" t="n">
        <v>16.7</v>
      </c>
      <c r="D52" s="0" t="n">
        <v>10.28</v>
      </c>
    </row>
    <row r="53" customFormat="false" ht="15" hidden="false" customHeight="false" outlineLevel="0" collapsed="false">
      <c r="A53" s="0" t="s">
        <v>40</v>
      </c>
      <c r="B53" s="0" t="s">
        <v>10</v>
      </c>
      <c r="C53" s="0" t="n">
        <v>16.7</v>
      </c>
      <c r="D53" s="0" t="n">
        <v>10.53</v>
      </c>
    </row>
    <row r="54" customFormat="false" ht="15" hidden="false" customHeight="false" outlineLevel="0" collapsed="false">
      <c r="A54" s="0" t="s">
        <v>46</v>
      </c>
      <c r="B54" s="0" t="s">
        <v>10</v>
      </c>
      <c r="C54" s="0" t="n">
        <v>16.7</v>
      </c>
      <c r="D54" s="0" t="n">
        <v>14.92</v>
      </c>
    </row>
    <row r="55" customFormat="false" ht="15" hidden="false" customHeight="false" outlineLevel="0" collapsed="false">
      <c r="A55" s="0" t="s">
        <v>47</v>
      </c>
      <c r="B55" s="0" t="s">
        <v>10</v>
      </c>
      <c r="C55" s="0" t="n">
        <v>12.5</v>
      </c>
      <c r="D55" s="0" t="n">
        <v>6.52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1" t="s">
        <v>0</v>
      </c>
      <c r="B1" s="1" t="s">
        <v>6</v>
      </c>
      <c r="C1" s="1" t="s">
        <v>48</v>
      </c>
    </row>
    <row r="2" customFormat="false" ht="15" hidden="false" customHeight="false" outlineLevel="0" collapsed="false">
      <c r="A2" s="0" t="s">
        <v>3</v>
      </c>
      <c r="B2" s="0" t="s">
        <v>8</v>
      </c>
      <c r="C2" s="0" t="n">
        <v>1549369</v>
      </c>
    </row>
    <row r="3" customFormat="false" ht="15" hidden="false" customHeight="false" outlineLevel="0" collapsed="false">
      <c r="A3" s="0" t="s">
        <v>3</v>
      </c>
      <c r="B3" s="0" t="s">
        <v>10</v>
      </c>
      <c r="C3" s="0" t="n">
        <v>744225</v>
      </c>
    </row>
    <row r="4" customFormat="false" ht="15" hidden="false" customHeight="false" outlineLevel="0" collapsed="false">
      <c r="A4" s="0" t="s">
        <v>3</v>
      </c>
      <c r="B4" s="0" t="s">
        <v>9</v>
      </c>
      <c r="C4" s="0" t="n">
        <v>740126</v>
      </c>
    </row>
    <row r="5" customFormat="false" ht="15" hidden="false" customHeight="false" outlineLevel="0" collapsed="false">
      <c r="A5" s="0" t="s">
        <v>4</v>
      </c>
      <c r="B5" s="0" t="s">
        <v>9</v>
      </c>
      <c r="C5" s="0" t="n">
        <v>167212</v>
      </c>
    </row>
    <row r="6" customFormat="false" ht="15" hidden="false" customHeight="false" outlineLevel="0" collapsed="false">
      <c r="A6" s="0" t="s">
        <v>5</v>
      </c>
      <c r="B6" s="0" t="s">
        <v>8</v>
      </c>
      <c r="C6" s="0" t="n">
        <v>157494</v>
      </c>
    </row>
    <row r="7" customFormat="false" ht="15" hidden="false" customHeight="false" outlineLevel="0" collapsed="false">
      <c r="A7" s="0" t="s">
        <v>4</v>
      </c>
      <c r="B7" s="0" t="s">
        <v>8</v>
      </c>
      <c r="C7" s="0" t="n">
        <v>146126</v>
      </c>
    </row>
    <row r="8" customFormat="false" ht="15" hidden="false" customHeight="false" outlineLevel="0" collapsed="false">
      <c r="A8" s="0" t="s">
        <v>5</v>
      </c>
      <c r="B8" s="0" t="s">
        <v>10</v>
      </c>
      <c r="C8" s="0" t="n">
        <v>139522</v>
      </c>
    </row>
    <row r="9" customFormat="false" ht="15" hidden="false" customHeight="false" outlineLevel="0" collapsed="false">
      <c r="A9" s="0" t="s">
        <v>4</v>
      </c>
      <c r="B9" s="0" t="s">
        <v>10</v>
      </c>
      <c r="C9" s="0" t="n">
        <v>103121</v>
      </c>
    </row>
    <row r="10" customFormat="false" ht="15" hidden="false" customHeight="false" outlineLevel="0" collapsed="false">
      <c r="A10" s="0" t="s">
        <v>5</v>
      </c>
      <c r="B10" s="0" t="s">
        <v>9</v>
      </c>
      <c r="C10" s="0" t="n">
        <v>102798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2026-09-18T00:30:46Z</dcterms:created>
  <dc:creator>openpyxl</dc:creator>
  <dc:description/>
  <dc:language>en-US</dc:language>
  <cp:lastModifiedBy/>
  <dcterms:modified xsi:type="dcterms:W3CDTF">2026-09-18T00:30:46Z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